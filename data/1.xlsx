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5480" windowHeight="11640"/>
  </bookViews>
  <sheets>
    <sheet name="Sheet2" sheetId="2" r:id="rId1"/>
  </sheets>
  <definedNames>
    <definedName name="_xlnm.Print_Area" localSheetId="0">Sheet2!$A$1:$S$43</definedName>
  </definedNames>
  <calcPr calcId="145621"/>
</workbook>
</file>

<file path=xl/calcChain.xml><?xml version="1.0" encoding="utf-8"?>
<calcChain xmlns="http://schemas.openxmlformats.org/spreadsheetml/2006/main">
  <c r="S41" i="2" l="1"/>
  <c r="Q41" i="2"/>
  <c r="L41" i="2"/>
  <c r="I41" i="2"/>
  <c r="E41" i="2"/>
  <c r="Q40" i="2" l="1"/>
  <c r="S40" i="2" s="1"/>
  <c r="S39" i="2" l="1"/>
  <c r="Q39" i="2" l="1"/>
</calcChain>
</file>

<file path=xl/sharedStrings.xml><?xml version="1.0" encoding="utf-8"?>
<sst xmlns="http://schemas.openxmlformats.org/spreadsheetml/2006/main" count="62" uniqueCount="56">
  <si>
    <t>سال تحصيلي</t>
  </si>
  <si>
    <t>مدارس سپاه دانش</t>
  </si>
  <si>
    <t xml:space="preserve">فنـــــي و حرفــــه اي </t>
  </si>
  <si>
    <t>مراكز تربيت معلم و دانشسراهاي روستايي</t>
  </si>
  <si>
    <t>دولتي</t>
  </si>
  <si>
    <t>جـــمع</t>
  </si>
  <si>
    <t>آموزش كشاورزي</t>
  </si>
  <si>
    <t xml:space="preserve">آموزش خدمات </t>
  </si>
  <si>
    <t>هنرستان فني</t>
  </si>
  <si>
    <t>جمـــع</t>
  </si>
  <si>
    <t>1322-23</t>
  </si>
  <si>
    <t>1332-33</t>
  </si>
  <si>
    <t>1342-43</t>
  </si>
  <si>
    <t>1347-48</t>
  </si>
  <si>
    <t>1352-53</t>
  </si>
  <si>
    <t>1357-58</t>
  </si>
  <si>
    <t>1362-63</t>
  </si>
  <si>
    <t>1367-68</t>
  </si>
  <si>
    <t>1369-70</t>
  </si>
  <si>
    <t>1370-71</t>
  </si>
  <si>
    <t>1371-72</t>
  </si>
  <si>
    <t>1373-74</t>
  </si>
  <si>
    <t>1374-75</t>
  </si>
  <si>
    <t>1375-76</t>
  </si>
  <si>
    <t>1376-77</t>
  </si>
  <si>
    <t>1377-78</t>
  </si>
  <si>
    <t>1378-79</t>
  </si>
  <si>
    <t>كاردانش</t>
  </si>
  <si>
    <t>1379-80</t>
  </si>
  <si>
    <t>1380-81</t>
  </si>
  <si>
    <t>1381-82</t>
  </si>
  <si>
    <t>1382-83</t>
  </si>
  <si>
    <t>1383-84</t>
  </si>
  <si>
    <t>1384-85</t>
  </si>
  <si>
    <t>1385-86</t>
  </si>
  <si>
    <t>1386-87</t>
  </si>
  <si>
    <t>1387-88</t>
  </si>
  <si>
    <t>1388-89</t>
  </si>
  <si>
    <t>1389-90</t>
  </si>
  <si>
    <t>1390-91</t>
  </si>
  <si>
    <t xml:space="preserve">جمع كل مدارس </t>
  </si>
  <si>
    <t>1391-92</t>
  </si>
  <si>
    <t>1393-94</t>
  </si>
  <si>
    <t>آموزش حرفه ای (بازرگاني‌حرفه‌اي)</t>
  </si>
  <si>
    <t>1394-95</t>
  </si>
  <si>
    <t xml:space="preserve">                       اطلاعات مراكز تربيت معلم و دانشگاه فرهنگيان سال تحصيلي 92-91 به بعد موجود نمي باشد.</t>
  </si>
  <si>
    <t xml:space="preserve">دوره اول متوسطه (راهنمايي) </t>
  </si>
  <si>
    <t>1395-96</t>
  </si>
  <si>
    <t>1396-97</t>
  </si>
  <si>
    <t>آمار مدارس  كشور از سال تحصيلي 23-1322 تا سال تحصيلي 98-1397</t>
  </si>
  <si>
    <t>1397-98</t>
  </si>
  <si>
    <t xml:space="preserve">                       آمار مدارس ايراني داير در خارج از كشور لحاظ نگرديده و تعداد واحد آموزشی آموزش و پرورش استثنايي و تعداد واحد آموزشي بزرگسالان در ارقام فوق لحاظ نشده است.</t>
  </si>
  <si>
    <t xml:space="preserve">     غير دولتي   (غيرانتفاعي )</t>
  </si>
  <si>
    <t>دبستان‌هاي عادي</t>
  </si>
  <si>
    <t>پيش‌دبستاني (آمادگي)</t>
  </si>
  <si>
    <t>دبيرستان هاي عمومي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</si>
</sst>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2"/>
      <name val="B Titr"/>
      <charset val="178"/>
    </font>
    <font>
      <sz val="20"/>
      <name val="2  Yekan"/>
      <charset val="178"/>
    </font>
    <font>
      <sz val="12"/>
      <name val="B Nazanin"/>
      <charset val="178"/>
    </font>
    <font>
      <b/>
      <sz val="14"/>
      <name val="B Titr"/>
      <charset val="178"/>
    </font>
  </fonts>
  <fills count="5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  <fill>
      <patternFill patternType="mediumGray">
        <bgColor theme="0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1" fillId="0" borderId="0" xfId="1"/>
    <xf numFmtId="0" fontId="0" fillId="3" borderId="0" xfId="0" applyFill="1"/>
    <xf numFmtId="0" fontId="2" fillId="3" borderId="1" xfId="1" applyFont="1" applyFill="1" applyBorder="1" applyAlignment="1">
      <alignment horizontal="center" vertical="center" readingOrder="2"/>
    </xf>
    <xf numFmtId="0" fontId="2" fillId="3" borderId="2" xfId="1" applyFont="1" applyFill="1" applyBorder="1" applyAlignment="1">
      <alignment horizontal="center" vertical="center" readingOrder="1"/>
    </xf>
    <xf numFmtId="0" fontId="2" fillId="3" borderId="3" xfId="1" applyFont="1" applyFill="1" applyBorder="1" applyAlignment="1">
      <alignment horizontal="center" vertical="center" readingOrder="2"/>
    </xf>
    <xf numFmtId="0" fontId="2" fillId="3" borderId="4" xfId="1" applyFont="1" applyFill="1" applyBorder="1" applyAlignment="1">
      <alignment horizontal="center" vertical="center" readingOrder="2"/>
    </xf>
    <xf numFmtId="0" fontId="2" fillId="3" borderId="5" xfId="1" applyFont="1" applyFill="1" applyBorder="1" applyAlignment="1">
      <alignment horizontal="center" vertical="center" readingOrder="2"/>
    </xf>
    <xf numFmtId="0" fontId="2" fillId="3" borderId="6" xfId="1" applyFont="1" applyFill="1" applyBorder="1" applyAlignment="1">
      <alignment horizontal="center" vertical="center" readingOrder="2"/>
    </xf>
    <xf numFmtId="0" fontId="2" fillId="3" borderId="7" xfId="1" applyFont="1" applyFill="1" applyBorder="1" applyAlignment="1">
      <alignment horizontal="center" vertical="center" readingOrder="2"/>
    </xf>
    <xf numFmtId="0" fontId="2" fillId="3" borderId="8" xfId="1" applyFont="1" applyFill="1" applyBorder="1" applyAlignment="1">
      <alignment horizontal="center" vertical="center" readingOrder="2"/>
    </xf>
    <xf numFmtId="0" fontId="2" fillId="3" borderId="2" xfId="1" applyFont="1" applyFill="1" applyBorder="1" applyAlignment="1">
      <alignment horizontal="center" vertical="center" readingOrder="2"/>
    </xf>
    <xf numFmtId="0" fontId="2" fillId="3" borderId="9" xfId="1" applyFont="1" applyFill="1" applyBorder="1" applyAlignment="1">
      <alignment horizontal="center" vertical="center" readingOrder="2"/>
    </xf>
    <xf numFmtId="0" fontId="2" fillId="3" borderId="10" xfId="1" applyFont="1" applyFill="1" applyBorder="1" applyAlignment="1">
      <alignment horizontal="center" vertical="center" readingOrder="2"/>
    </xf>
    <xf numFmtId="0" fontId="2" fillId="3" borderId="11" xfId="1" applyFont="1" applyFill="1" applyBorder="1" applyAlignment="1">
      <alignment horizontal="center" vertical="center" readingOrder="2"/>
    </xf>
    <xf numFmtId="0" fontId="2" fillId="3" borderId="12" xfId="1" applyFont="1" applyFill="1" applyBorder="1" applyAlignment="1">
      <alignment horizontal="center" vertical="center" readingOrder="2"/>
    </xf>
    <xf numFmtId="0" fontId="2" fillId="3" borderId="13" xfId="1" applyFont="1" applyFill="1" applyBorder="1" applyAlignment="1">
      <alignment horizontal="center" vertical="center" readingOrder="2"/>
    </xf>
    <xf numFmtId="0" fontId="2" fillId="3" borderId="14" xfId="1" applyFont="1" applyFill="1" applyBorder="1" applyAlignment="1">
      <alignment horizontal="center" vertical="center" readingOrder="2"/>
    </xf>
    <xf numFmtId="0" fontId="2" fillId="3" borderId="15" xfId="1" applyFont="1" applyFill="1" applyBorder="1" applyAlignment="1">
      <alignment horizontal="center" vertical="center" readingOrder="2"/>
    </xf>
    <xf numFmtId="0" fontId="2" fillId="3" borderId="16" xfId="1" applyFont="1" applyFill="1" applyBorder="1" applyAlignment="1">
      <alignment horizontal="center" vertical="center" readingOrder="2"/>
    </xf>
    <xf numFmtId="0" fontId="2" fillId="3" borderId="17" xfId="1" applyFont="1" applyFill="1" applyBorder="1" applyAlignment="1">
      <alignment horizontal="center" vertical="center" readingOrder="2"/>
    </xf>
    <xf numFmtId="0" fontId="2" fillId="3" borderId="18" xfId="1" applyFont="1" applyFill="1" applyBorder="1" applyAlignment="1">
      <alignment horizontal="center" vertical="center" readingOrder="2"/>
    </xf>
    <xf numFmtId="0" fontId="2" fillId="3" borderId="19" xfId="1" applyFont="1" applyFill="1" applyBorder="1" applyAlignment="1">
      <alignment horizontal="center" vertical="center" readingOrder="2"/>
    </xf>
    <xf numFmtId="0" fontId="2" fillId="3" borderId="20" xfId="1" applyFont="1" applyFill="1" applyBorder="1" applyAlignment="1">
      <alignment horizontal="center" vertical="center" readingOrder="2"/>
    </xf>
    <xf numFmtId="0" fontId="2" fillId="3" borderId="21" xfId="1" applyFont="1" applyFill="1" applyBorder="1" applyAlignment="1">
      <alignment horizontal="center" vertical="center" readingOrder="2"/>
    </xf>
    <xf numFmtId="0" fontId="2" fillId="3" borderId="22" xfId="1" applyFont="1" applyFill="1" applyBorder="1" applyAlignment="1">
      <alignment horizontal="center" vertical="center" readingOrder="2"/>
    </xf>
    <xf numFmtId="0" fontId="2" fillId="3" borderId="23" xfId="1" applyFont="1" applyFill="1" applyBorder="1" applyAlignment="1">
      <alignment horizontal="center" vertical="center" readingOrder="2"/>
    </xf>
    <xf numFmtId="0" fontId="2" fillId="3" borderId="24" xfId="1" applyFont="1" applyFill="1" applyBorder="1" applyAlignment="1">
      <alignment horizontal="center" vertical="center" readingOrder="2"/>
    </xf>
    <xf numFmtId="0" fontId="2" fillId="3" borderId="25" xfId="1" applyFont="1" applyFill="1" applyBorder="1" applyAlignment="1">
      <alignment horizontal="center" vertical="center" readingOrder="2"/>
    </xf>
    <xf numFmtId="0" fontId="2" fillId="3" borderId="26" xfId="1" applyFont="1" applyFill="1" applyBorder="1" applyAlignment="1">
      <alignment horizontal="center" vertical="center" readingOrder="2"/>
    </xf>
    <xf numFmtId="0" fontId="2" fillId="3" borderId="27" xfId="1" applyFont="1" applyFill="1" applyBorder="1" applyAlignment="1">
      <alignment horizontal="center" vertical="center" readingOrder="2"/>
    </xf>
    <xf numFmtId="0" fontId="2" fillId="3" borderId="28" xfId="1" applyFont="1" applyFill="1" applyBorder="1" applyAlignment="1">
      <alignment horizontal="center" vertical="center" readingOrder="2"/>
    </xf>
    <xf numFmtId="0" fontId="2" fillId="3" borderId="29" xfId="1" applyFont="1" applyFill="1" applyBorder="1" applyAlignment="1">
      <alignment horizontal="center" vertical="center" readingOrder="2"/>
    </xf>
    <xf numFmtId="0" fontId="2" fillId="3" borderId="30" xfId="1" applyFont="1" applyFill="1" applyBorder="1" applyAlignment="1">
      <alignment horizontal="center" vertical="center" readingOrder="2"/>
    </xf>
    <xf numFmtId="0" fontId="2" fillId="3" borderId="31" xfId="1" applyFont="1" applyFill="1" applyBorder="1" applyAlignment="1">
      <alignment horizontal="center" vertical="center" readingOrder="2"/>
    </xf>
    <xf numFmtId="0" fontId="2" fillId="3" borderId="32" xfId="1" applyFont="1" applyFill="1" applyBorder="1" applyAlignment="1">
      <alignment horizontal="center" vertical="center" readingOrder="2"/>
    </xf>
    <xf numFmtId="0" fontId="2" fillId="3" borderId="33" xfId="1" applyFont="1" applyFill="1" applyBorder="1" applyAlignment="1">
      <alignment horizontal="center" vertical="center" readingOrder="2"/>
    </xf>
    <xf numFmtId="0" fontId="2" fillId="3" borderId="51" xfId="1" applyFont="1" applyFill="1" applyBorder="1" applyAlignment="1">
      <alignment horizontal="center" vertical="center" readingOrder="2"/>
    </xf>
    <xf numFmtId="0" fontId="2" fillId="3" borderId="52" xfId="1" applyFont="1" applyFill="1" applyBorder="1" applyAlignment="1">
      <alignment horizontal="center" vertical="center" readingOrder="2"/>
    </xf>
    <xf numFmtId="0" fontId="2" fillId="3" borderId="38" xfId="1" applyFont="1" applyFill="1" applyBorder="1" applyAlignment="1">
      <alignment horizontal="center" vertical="center" readingOrder="2"/>
    </xf>
    <xf numFmtId="0" fontId="2" fillId="3" borderId="53" xfId="1" applyFont="1" applyFill="1" applyBorder="1" applyAlignment="1">
      <alignment horizontal="center" vertical="center" readingOrder="2"/>
    </xf>
    <xf numFmtId="0" fontId="2" fillId="3" borderId="54" xfId="1" applyFont="1" applyFill="1" applyBorder="1" applyAlignment="1">
      <alignment horizontal="center" vertical="center" readingOrder="2"/>
    </xf>
    <xf numFmtId="0" fontId="2" fillId="3" borderId="50" xfId="1" applyFont="1" applyFill="1" applyBorder="1" applyAlignment="1">
      <alignment horizontal="center" vertical="center" readingOrder="2"/>
    </xf>
    <xf numFmtId="0" fontId="2" fillId="3" borderId="55" xfId="1" applyFont="1" applyFill="1" applyBorder="1" applyAlignment="1">
      <alignment horizontal="center" vertical="center" readingOrder="2"/>
    </xf>
    <xf numFmtId="0" fontId="2" fillId="3" borderId="73" xfId="1" applyFont="1" applyFill="1" applyBorder="1" applyAlignment="1">
      <alignment horizontal="center" vertical="center" readingOrder="2"/>
    </xf>
    <xf numFmtId="0" fontId="2" fillId="4" borderId="17" xfId="1" applyFont="1" applyFill="1" applyBorder="1" applyAlignment="1">
      <alignment horizontal="center" vertical="center" readingOrder="2"/>
    </xf>
    <xf numFmtId="0" fontId="2" fillId="3" borderId="65" xfId="1" applyFont="1" applyFill="1" applyBorder="1" applyAlignment="1">
      <alignment horizontal="center" vertical="center" readingOrder="2"/>
    </xf>
    <xf numFmtId="0" fontId="2" fillId="3" borderId="66" xfId="1" applyFont="1" applyFill="1" applyBorder="1" applyAlignment="1">
      <alignment horizontal="center" vertical="center" readingOrder="2"/>
    </xf>
    <xf numFmtId="0" fontId="2" fillId="3" borderId="67" xfId="1" applyFont="1" applyFill="1" applyBorder="1" applyAlignment="1">
      <alignment horizontal="center" vertical="center" readingOrder="2"/>
    </xf>
    <xf numFmtId="0" fontId="2" fillId="3" borderId="68" xfId="1" applyFont="1" applyFill="1" applyBorder="1" applyAlignment="1">
      <alignment horizontal="center" vertical="center" readingOrder="2"/>
    </xf>
    <xf numFmtId="0" fontId="2" fillId="3" borderId="69" xfId="1" applyFont="1" applyFill="1" applyBorder="1" applyAlignment="1">
      <alignment horizontal="center" vertical="center" readingOrder="2"/>
    </xf>
    <xf numFmtId="0" fontId="2" fillId="3" borderId="70" xfId="1" applyFont="1" applyFill="1" applyBorder="1" applyAlignment="1">
      <alignment horizontal="center" vertical="center" readingOrder="2"/>
    </xf>
    <xf numFmtId="0" fontId="2" fillId="3" borderId="71" xfId="1" applyFont="1" applyFill="1" applyBorder="1" applyAlignment="1">
      <alignment horizontal="center" vertical="center" readingOrder="2"/>
    </xf>
    <xf numFmtId="0" fontId="2" fillId="3" borderId="72" xfId="1" applyFont="1" applyFill="1" applyBorder="1" applyAlignment="1">
      <alignment horizontal="center" vertical="center" readingOrder="2"/>
    </xf>
    <xf numFmtId="0" fontId="2" fillId="4" borderId="65" xfId="1" applyFont="1" applyFill="1" applyBorder="1" applyAlignment="1">
      <alignment horizontal="center" vertical="center" readingOrder="2"/>
    </xf>
    <xf numFmtId="0" fontId="2" fillId="3" borderId="39" xfId="1" applyFont="1" applyFill="1" applyBorder="1" applyAlignment="1">
      <alignment horizontal="center" vertical="center" readingOrder="2"/>
    </xf>
    <xf numFmtId="0" fontId="2" fillId="3" borderId="57" xfId="1" applyFont="1" applyFill="1" applyBorder="1" applyAlignment="1">
      <alignment horizontal="center" vertical="center" readingOrder="2"/>
    </xf>
    <xf numFmtId="0" fontId="2" fillId="3" borderId="58" xfId="1" applyFont="1" applyFill="1" applyBorder="1" applyAlignment="1">
      <alignment horizontal="center" vertical="center" readingOrder="2"/>
    </xf>
    <xf numFmtId="0" fontId="2" fillId="3" borderId="59" xfId="1" applyFont="1" applyFill="1" applyBorder="1" applyAlignment="1">
      <alignment horizontal="center" vertical="center" readingOrder="2"/>
    </xf>
    <xf numFmtId="0" fontId="2" fillId="3" borderId="60" xfId="1" applyFont="1" applyFill="1" applyBorder="1" applyAlignment="1">
      <alignment horizontal="center" vertical="center" readingOrder="2"/>
    </xf>
    <xf numFmtId="0" fontId="2" fillId="3" borderId="56" xfId="1" applyFont="1" applyFill="1" applyBorder="1" applyAlignment="1">
      <alignment horizontal="center" vertical="center" readingOrder="2"/>
    </xf>
    <xf numFmtId="0" fontId="2" fillId="3" borderId="61" xfId="1" applyFont="1" applyFill="1" applyBorder="1" applyAlignment="1">
      <alignment horizontal="center" vertical="center" readingOrder="2"/>
    </xf>
    <xf numFmtId="0" fontId="2" fillId="3" borderId="62" xfId="1" applyFont="1" applyFill="1" applyBorder="1" applyAlignment="1">
      <alignment horizontal="center" vertical="center" readingOrder="2"/>
    </xf>
    <xf numFmtId="0" fontId="2" fillId="4" borderId="39" xfId="1" applyFont="1" applyFill="1" applyBorder="1" applyAlignment="1">
      <alignment horizontal="center" vertical="center" readingOrder="2"/>
    </xf>
    <xf numFmtId="0" fontId="2" fillId="3" borderId="21" xfId="1" applyFont="1" applyFill="1" applyBorder="1" applyAlignment="1">
      <alignment horizontal="center" vertical="center" textRotation="90" readingOrder="2"/>
    </xf>
    <xf numFmtId="0" fontId="2" fillId="3" borderId="24" xfId="1" applyFont="1" applyFill="1" applyBorder="1" applyAlignment="1">
      <alignment horizontal="center" vertical="center" textRotation="90" readingOrder="2"/>
    </xf>
    <xf numFmtId="0" fontId="2" fillId="3" borderId="50" xfId="1" applyFont="1" applyFill="1" applyBorder="1" applyAlignment="1">
      <alignment horizontal="center" vertical="center" textRotation="90" readingOrder="2"/>
    </xf>
    <xf numFmtId="0" fontId="2" fillId="3" borderId="15" xfId="1" applyFont="1" applyFill="1" applyBorder="1" applyAlignment="1">
      <alignment horizontal="center" vertical="center" textRotation="90" readingOrder="2"/>
    </xf>
    <xf numFmtId="0" fontId="2" fillId="3" borderId="38" xfId="1" applyFont="1" applyFill="1" applyBorder="1" applyAlignment="1">
      <alignment horizontal="center" vertical="center" textRotation="90" wrapText="1" readingOrder="2"/>
    </xf>
    <xf numFmtId="0" fontId="2" fillId="3" borderId="12" xfId="1" applyFont="1" applyFill="1" applyBorder="1" applyAlignment="1">
      <alignment horizontal="center" vertical="center" textRotation="90" wrapText="1" readingOrder="2"/>
    </xf>
    <xf numFmtId="0" fontId="2" fillId="3" borderId="38" xfId="1" applyFont="1" applyFill="1" applyBorder="1" applyAlignment="1">
      <alignment horizontal="center" vertical="center" textRotation="90" readingOrder="2"/>
    </xf>
    <xf numFmtId="0" fontId="2" fillId="3" borderId="12" xfId="1" applyFont="1" applyFill="1" applyBorder="1" applyAlignment="1">
      <alignment horizontal="center" vertical="center" textRotation="90" readingOrder="2"/>
    </xf>
    <xf numFmtId="0" fontId="2" fillId="3" borderId="19" xfId="1" applyFont="1" applyFill="1" applyBorder="1" applyAlignment="1">
      <alignment horizontal="center" vertical="center" textRotation="90" readingOrder="2"/>
    </xf>
    <xf numFmtId="0" fontId="2" fillId="3" borderId="23" xfId="1" applyFont="1" applyFill="1" applyBorder="1" applyAlignment="1">
      <alignment horizontal="center" vertical="center" textRotation="90" readingOrder="2"/>
    </xf>
    <xf numFmtId="0" fontId="4" fillId="0" borderId="0" xfId="1" applyFont="1" applyBorder="1" applyAlignment="1">
      <alignment horizontal="right" vertical="center" readingOrder="2"/>
    </xf>
    <xf numFmtId="0" fontId="5" fillId="2" borderId="39" xfId="1" applyFont="1" applyFill="1" applyBorder="1" applyAlignment="1">
      <alignment horizontal="center" vertical="center" readingOrder="2"/>
    </xf>
    <xf numFmtId="0" fontId="5" fillId="2" borderId="40" xfId="1" applyFont="1" applyFill="1" applyBorder="1" applyAlignment="1">
      <alignment horizontal="center" vertical="center" readingOrder="2"/>
    </xf>
    <xf numFmtId="0" fontId="5" fillId="2" borderId="41" xfId="1" applyFont="1" applyFill="1" applyBorder="1" applyAlignment="1">
      <alignment horizontal="center" vertical="center" readingOrder="2"/>
    </xf>
    <xf numFmtId="0" fontId="3" fillId="0" borderId="0" xfId="1" applyFont="1" applyBorder="1" applyAlignment="1">
      <alignment horizontal="center" vertical="center" textRotation="180" readingOrder="2"/>
    </xf>
    <xf numFmtId="0" fontId="2" fillId="3" borderId="42" xfId="1" applyFont="1" applyFill="1" applyBorder="1" applyAlignment="1">
      <alignment horizontal="center" vertical="center" readingOrder="2"/>
    </xf>
    <xf numFmtId="0" fontId="2" fillId="3" borderId="17" xfId="1" applyFont="1" applyFill="1" applyBorder="1" applyAlignment="1">
      <alignment horizontal="center" vertical="center" readingOrder="2"/>
    </xf>
    <xf numFmtId="0" fontId="2" fillId="3" borderId="43" xfId="1" applyFont="1" applyFill="1" applyBorder="1" applyAlignment="1">
      <alignment horizontal="center" vertical="center" textRotation="90" wrapText="1"/>
    </xf>
    <xf numFmtId="0" fontId="2" fillId="3" borderId="26" xfId="1" applyFont="1" applyFill="1" applyBorder="1" applyAlignment="1">
      <alignment horizontal="center" vertical="center" textRotation="90" wrapText="1"/>
    </xf>
    <xf numFmtId="0" fontId="2" fillId="3" borderId="10" xfId="1" applyFont="1" applyFill="1" applyBorder="1" applyAlignment="1">
      <alignment horizontal="center" vertical="center" textRotation="90" wrapText="1"/>
    </xf>
    <xf numFmtId="0" fontId="2" fillId="3" borderId="44" xfId="1" applyFont="1" applyFill="1" applyBorder="1" applyAlignment="1">
      <alignment horizontal="center" vertical="center" readingOrder="2"/>
    </xf>
    <xf numFmtId="0" fontId="2" fillId="3" borderId="35" xfId="1" applyFont="1" applyFill="1" applyBorder="1" applyAlignment="1">
      <alignment horizontal="center" vertical="center" readingOrder="2"/>
    </xf>
    <xf numFmtId="0" fontId="2" fillId="3" borderId="45" xfId="1" applyFont="1" applyFill="1" applyBorder="1" applyAlignment="1">
      <alignment horizontal="center" vertical="center" readingOrder="2"/>
    </xf>
    <xf numFmtId="0" fontId="2" fillId="3" borderId="46" xfId="1" applyFont="1" applyFill="1" applyBorder="1" applyAlignment="1">
      <alignment horizontal="center" vertical="center" textRotation="90" readingOrder="2"/>
    </xf>
    <xf numFmtId="0" fontId="2" fillId="3" borderId="22" xfId="1" applyFont="1" applyFill="1" applyBorder="1" applyAlignment="1">
      <alignment horizontal="center" vertical="center" textRotation="90" readingOrder="2"/>
    </xf>
    <xf numFmtId="0" fontId="2" fillId="3" borderId="42" xfId="1" applyFont="1" applyFill="1" applyBorder="1" applyAlignment="1">
      <alignment horizontal="right" vertical="center" wrapText="1" indent="4"/>
    </xf>
    <xf numFmtId="0" fontId="2" fillId="3" borderId="63" xfId="1" applyFont="1" applyFill="1" applyBorder="1" applyAlignment="1">
      <alignment horizontal="right" vertical="center" wrapText="1" indent="4"/>
    </xf>
    <xf numFmtId="0" fontId="2" fillId="3" borderId="64" xfId="1" applyFont="1" applyFill="1" applyBorder="1" applyAlignment="1">
      <alignment horizontal="right" vertical="center" wrapText="1" indent="4"/>
    </xf>
    <xf numFmtId="0" fontId="2" fillId="3" borderId="34" xfId="1" applyFont="1" applyFill="1" applyBorder="1" applyAlignment="1">
      <alignment horizontal="center" vertical="center" readingOrder="2"/>
    </xf>
    <xf numFmtId="0" fontId="2" fillId="3" borderId="36" xfId="1" applyFont="1" applyFill="1" applyBorder="1" applyAlignment="1">
      <alignment horizontal="center" vertical="center" readingOrder="2"/>
    </xf>
    <xf numFmtId="0" fontId="2" fillId="3" borderId="37" xfId="1" applyFont="1" applyFill="1" applyBorder="1" applyAlignment="1">
      <alignment horizontal="center" vertical="center" textRotation="90" wrapText="1" readingOrder="2"/>
    </xf>
    <xf numFmtId="0" fontId="2" fillId="3" borderId="25" xfId="1" applyFont="1" applyFill="1" applyBorder="1" applyAlignment="1">
      <alignment horizontal="center" vertical="center" textRotation="90" wrapText="1" readingOrder="2"/>
    </xf>
    <xf numFmtId="0" fontId="2" fillId="3" borderId="9" xfId="1" applyFont="1" applyFill="1" applyBorder="1" applyAlignment="1">
      <alignment horizontal="center" vertical="center" textRotation="90" wrapText="1" readingOrder="2"/>
    </xf>
    <xf numFmtId="0" fontId="4" fillId="0" borderId="47" xfId="1" applyFont="1" applyBorder="1" applyAlignment="1">
      <alignment vertical="center" readingOrder="2"/>
    </xf>
    <xf numFmtId="0" fontId="2" fillId="3" borderId="43" xfId="1" applyFont="1" applyFill="1" applyBorder="1" applyAlignment="1">
      <alignment horizontal="center" vertical="center" textRotation="90" wrapText="1" readingOrder="2"/>
    </xf>
    <xf numFmtId="0" fontId="2" fillId="3" borderId="26" xfId="1" applyFont="1" applyFill="1" applyBorder="1" applyAlignment="1">
      <alignment horizontal="center" vertical="center" textRotation="90" wrapText="1" readingOrder="2"/>
    </xf>
    <xf numFmtId="0" fontId="2" fillId="3" borderId="10" xfId="1" applyFont="1" applyFill="1" applyBorder="1" applyAlignment="1">
      <alignment horizontal="center" vertical="center" textRotation="90" wrapText="1" readingOrder="2"/>
    </xf>
    <xf numFmtId="0" fontId="2" fillId="3" borderId="48" xfId="1" applyFont="1" applyFill="1" applyBorder="1" applyAlignment="1">
      <alignment horizontal="center" vertical="center" textRotation="90" readingOrder="2"/>
    </xf>
    <xf numFmtId="0" fontId="2" fillId="3" borderId="49" xfId="1" applyFont="1" applyFill="1" applyBorder="1" applyAlignment="1">
      <alignment horizontal="center" vertical="center" textRotation="90" readingOrder="2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rightToLeft="1" tabSelected="1" zoomScale="73" zoomScaleNormal="73" workbookViewId="0">
      <selection activeCell="B2" sqref="B1:R1048576"/>
    </sheetView>
  </sheetViews>
  <sheetFormatPr defaultRowHeight="15"/>
  <cols>
    <col min="1" max="1" width="16" customWidth="1"/>
    <col min="2" max="18" width="11.7109375" customWidth="1"/>
    <col min="19" max="19" width="13.42578125" customWidth="1"/>
  </cols>
  <sheetData>
    <row r="1" spans="1:20" ht="33.75" customHeight="1" thickBot="1">
      <c r="A1" s="75" t="s">
        <v>49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7"/>
      <c r="T1" s="78"/>
    </row>
    <row r="2" spans="1:20" ht="15.7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78"/>
    </row>
    <row r="3" spans="1:20" ht="18.75" customHeight="1">
      <c r="A3" s="79" t="s">
        <v>0</v>
      </c>
      <c r="B3" s="81" t="s">
        <v>54</v>
      </c>
      <c r="C3" s="84" t="s">
        <v>53</v>
      </c>
      <c r="D3" s="85"/>
      <c r="E3" s="86"/>
      <c r="F3" s="87" t="s">
        <v>1</v>
      </c>
      <c r="G3" s="89" t="s">
        <v>46</v>
      </c>
      <c r="H3" s="90"/>
      <c r="I3" s="91"/>
      <c r="J3" s="92" t="s">
        <v>55</v>
      </c>
      <c r="K3" s="85"/>
      <c r="L3" s="86"/>
      <c r="M3" s="92" t="s">
        <v>2</v>
      </c>
      <c r="N3" s="85"/>
      <c r="O3" s="85"/>
      <c r="P3" s="85"/>
      <c r="Q3" s="93"/>
      <c r="R3" s="94" t="s">
        <v>3</v>
      </c>
      <c r="S3" s="98" t="s">
        <v>40</v>
      </c>
      <c r="T3" s="78"/>
    </row>
    <row r="4" spans="1:20">
      <c r="A4" s="80"/>
      <c r="B4" s="82"/>
      <c r="C4" s="101" t="s">
        <v>4</v>
      </c>
      <c r="D4" s="68" t="s">
        <v>52</v>
      </c>
      <c r="E4" s="101" t="s">
        <v>5</v>
      </c>
      <c r="F4" s="88"/>
      <c r="G4" s="72" t="s">
        <v>4</v>
      </c>
      <c r="H4" s="68" t="s">
        <v>52</v>
      </c>
      <c r="I4" s="64" t="s">
        <v>5</v>
      </c>
      <c r="J4" s="73" t="s">
        <v>4</v>
      </c>
      <c r="K4" s="68" t="s">
        <v>52</v>
      </c>
      <c r="L4" s="65" t="s">
        <v>5</v>
      </c>
      <c r="M4" s="66" t="s">
        <v>6</v>
      </c>
      <c r="N4" s="68" t="s">
        <v>43</v>
      </c>
      <c r="O4" s="70" t="s">
        <v>7</v>
      </c>
      <c r="P4" s="70" t="s">
        <v>8</v>
      </c>
      <c r="Q4" s="64" t="s">
        <v>9</v>
      </c>
      <c r="R4" s="95"/>
      <c r="S4" s="99"/>
      <c r="T4" s="78"/>
    </row>
    <row r="5" spans="1:20" ht="79.5" customHeight="1">
      <c r="A5" s="80"/>
      <c r="B5" s="83"/>
      <c r="C5" s="102"/>
      <c r="D5" s="69"/>
      <c r="E5" s="102"/>
      <c r="F5" s="88"/>
      <c r="G5" s="72"/>
      <c r="H5" s="69"/>
      <c r="I5" s="64"/>
      <c r="J5" s="73"/>
      <c r="K5" s="69"/>
      <c r="L5" s="65"/>
      <c r="M5" s="67"/>
      <c r="N5" s="69"/>
      <c r="O5" s="71"/>
      <c r="P5" s="71"/>
      <c r="Q5" s="64"/>
      <c r="R5" s="96"/>
      <c r="S5" s="100"/>
      <c r="T5" s="78"/>
    </row>
    <row r="6" spans="1:20" ht="20.100000000000001" customHeight="1" thickBot="1">
      <c r="A6" s="3">
        <v>1</v>
      </c>
      <c r="B6" s="4">
        <v>2</v>
      </c>
      <c r="C6" s="5">
        <v>3</v>
      </c>
      <c r="D6" s="6">
        <v>4</v>
      </c>
      <c r="E6" s="7">
        <v>5</v>
      </c>
      <c r="F6" s="8">
        <v>6</v>
      </c>
      <c r="G6" s="5">
        <v>7</v>
      </c>
      <c r="H6" s="6">
        <v>8</v>
      </c>
      <c r="I6" s="7">
        <v>9</v>
      </c>
      <c r="J6" s="9">
        <v>10</v>
      </c>
      <c r="K6" s="6">
        <v>11</v>
      </c>
      <c r="L6" s="10">
        <v>12</v>
      </c>
      <c r="M6" s="9">
        <v>13</v>
      </c>
      <c r="N6" s="6">
        <v>14</v>
      </c>
      <c r="O6" s="6">
        <v>15</v>
      </c>
      <c r="P6" s="6">
        <v>16</v>
      </c>
      <c r="Q6" s="7">
        <v>17</v>
      </c>
      <c r="R6" s="3">
        <v>18</v>
      </c>
      <c r="S6" s="11">
        <v>19</v>
      </c>
      <c r="T6" s="78"/>
    </row>
    <row r="7" spans="1:20" ht="20.100000000000001" customHeight="1" thickTop="1">
      <c r="A7" s="12" t="s">
        <v>10</v>
      </c>
      <c r="B7" s="13">
        <v>30</v>
      </c>
      <c r="C7" s="14">
        <v>2074</v>
      </c>
      <c r="D7" s="15">
        <v>301</v>
      </c>
      <c r="E7" s="16">
        <v>2375</v>
      </c>
      <c r="F7" s="17">
        <v>0</v>
      </c>
      <c r="G7" s="14">
        <v>0</v>
      </c>
      <c r="H7" s="15">
        <v>0</v>
      </c>
      <c r="I7" s="16">
        <v>0</v>
      </c>
      <c r="J7" s="18">
        <v>204</v>
      </c>
      <c r="K7" s="15">
        <v>82</v>
      </c>
      <c r="L7" s="19">
        <v>286</v>
      </c>
      <c r="M7" s="18">
        <v>1</v>
      </c>
      <c r="N7" s="15">
        <v>0</v>
      </c>
      <c r="O7" s="15">
        <v>0</v>
      </c>
      <c r="P7" s="15">
        <v>9</v>
      </c>
      <c r="Q7" s="16">
        <v>10</v>
      </c>
      <c r="R7" s="12">
        <v>43</v>
      </c>
      <c r="S7" s="13">
        <v>2744</v>
      </c>
      <c r="T7" s="78"/>
    </row>
    <row r="8" spans="1:20" ht="20.100000000000001" customHeight="1">
      <c r="A8" s="20" t="s">
        <v>11</v>
      </c>
      <c r="B8" s="21">
        <v>115</v>
      </c>
      <c r="C8" s="22">
        <v>5681</v>
      </c>
      <c r="D8" s="23">
        <v>275</v>
      </c>
      <c r="E8" s="24">
        <v>5956</v>
      </c>
      <c r="F8" s="25">
        <v>0</v>
      </c>
      <c r="G8" s="22">
        <v>0</v>
      </c>
      <c r="H8" s="23">
        <v>0</v>
      </c>
      <c r="I8" s="24">
        <v>0</v>
      </c>
      <c r="J8" s="26">
        <v>434</v>
      </c>
      <c r="K8" s="23">
        <v>93</v>
      </c>
      <c r="L8" s="27">
        <v>527</v>
      </c>
      <c r="M8" s="26">
        <v>0</v>
      </c>
      <c r="N8" s="23">
        <v>0</v>
      </c>
      <c r="O8" s="23">
        <v>0</v>
      </c>
      <c r="P8" s="23">
        <v>9</v>
      </c>
      <c r="Q8" s="24">
        <v>9</v>
      </c>
      <c r="R8" s="20">
        <v>31</v>
      </c>
      <c r="S8" s="13">
        <v>6638</v>
      </c>
      <c r="T8" s="78"/>
    </row>
    <row r="9" spans="1:20" ht="20.100000000000001" customHeight="1">
      <c r="A9" s="20" t="s">
        <v>12</v>
      </c>
      <c r="B9" s="21">
        <v>262</v>
      </c>
      <c r="C9" s="22">
        <v>12614</v>
      </c>
      <c r="D9" s="23">
        <v>688</v>
      </c>
      <c r="E9" s="24">
        <v>13302</v>
      </c>
      <c r="F9" s="25">
        <v>2972</v>
      </c>
      <c r="G9" s="22">
        <v>0</v>
      </c>
      <c r="H9" s="23">
        <v>0</v>
      </c>
      <c r="I9" s="24">
        <v>0</v>
      </c>
      <c r="J9" s="26">
        <v>1010</v>
      </c>
      <c r="K9" s="23">
        <v>259</v>
      </c>
      <c r="L9" s="27">
        <v>1269</v>
      </c>
      <c r="M9" s="26">
        <v>18</v>
      </c>
      <c r="N9" s="23">
        <v>8</v>
      </c>
      <c r="O9" s="23">
        <v>39</v>
      </c>
      <c r="P9" s="23">
        <v>31</v>
      </c>
      <c r="Q9" s="24">
        <v>96</v>
      </c>
      <c r="R9" s="20">
        <v>14</v>
      </c>
      <c r="S9" s="13">
        <v>17915</v>
      </c>
      <c r="T9" s="78"/>
    </row>
    <row r="10" spans="1:20" ht="20.100000000000001" customHeight="1">
      <c r="A10" s="20" t="s">
        <v>13</v>
      </c>
      <c r="B10" s="21">
        <v>337</v>
      </c>
      <c r="C10" s="22">
        <v>14425</v>
      </c>
      <c r="D10" s="23">
        <v>1131</v>
      </c>
      <c r="E10" s="24">
        <v>15556</v>
      </c>
      <c r="F10" s="25">
        <v>7541</v>
      </c>
      <c r="G10" s="22">
        <v>0</v>
      </c>
      <c r="H10" s="23">
        <v>0</v>
      </c>
      <c r="I10" s="24">
        <v>0</v>
      </c>
      <c r="J10" s="26">
        <v>1450</v>
      </c>
      <c r="K10" s="23">
        <v>617</v>
      </c>
      <c r="L10" s="27">
        <v>2067</v>
      </c>
      <c r="M10" s="26">
        <v>10</v>
      </c>
      <c r="N10" s="23">
        <v>19</v>
      </c>
      <c r="O10" s="23">
        <v>54</v>
      </c>
      <c r="P10" s="23">
        <v>71</v>
      </c>
      <c r="Q10" s="24">
        <v>154</v>
      </c>
      <c r="R10" s="20">
        <v>114</v>
      </c>
      <c r="S10" s="13">
        <v>25769</v>
      </c>
      <c r="T10" s="78"/>
    </row>
    <row r="11" spans="1:20" ht="20.100000000000001" customHeight="1">
      <c r="A11" s="20" t="s">
        <v>14</v>
      </c>
      <c r="B11" s="21">
        <v>607</v>
      </c>
      <c r="C11" s="22">
        <v>17388</v>
      </c>
      <c r="D11" s="23">
        <v>1308</v>
      </c>
      <c r="E11" s="24">
        <v>18696</v>
      </c>
      <c r="F11" s="25">
        <v>15234</v>
      </c>
      <c r="G11" s="22">
        <v>2688</v>
      </c>
      <c r="H11" s="23">
        <v>1022</v>
      </c>
      <c r="I11" s="24">
        <v>3710</v>
      </c>
      <c r="J11" s="26">
        <v>1561</v>
      </c>
      <c r="K11" s="23">
        <v>653</v>
      </c>
      <c r="L11" s="27">
        <v>2214</v>
      </c>
      <c r="M11" s="26">
        <v>0</v>
      </c>
      <c r="N11" s="23">
        <v>92</v>
      </c>
      <c r="O11" s="23">
        <v>104</v>
      </c>
      <c r="P11" s="23">
        <v>143</v>
      </c>
      <c r="Q11" s="24">
        <v>339</v>
      </c>
      <c r="R11" s="20">
        <v>110</v>
      </c>
      <c r="S11" s="13">
        <v>40910</v>
      </c>
      <c r="T11" s="78"/>
    </row>
    <row r="12" spans="1:20" ht="20.100000000000001" customHeight="1">
      <c r="A12" s="20" t="s">
        <v>15</v>
      </c>
      <c r="B12" s="21">
        <v>3492</v>
      </c>
      <c r="C12" s="22">
        <v>25266</v>
      </c>
      <c r="D12" s="23">
        <v>809</v>
      </c>
      <c r="E12" s="24">
        <v>26075</v>
      </c>
      <c r="F12" s="25">
        <v>14122</v>
      </c>
      <c r="G12" s="22">
        <v>5225</v>
      </c>
      <c r="H12" s="23">
        <v>496</v>
      </c>
      <c r="I12" s="24">
        <v>5721</v>
      </c>
      <c r="J12" s="26">
        <v>1715</v>
      </c>
      <c r="K12" s="23">
        <v>231</v>
      </c>
      <c r="L12" s="27">
        <v>1946</v>
      </c>
      <c r="M12" s="26">
        <v>0</v>
      </c>
      <c r="N12" s="23">
        <v>370</v>
      </c>
      <c r="O12" s="23">
        <v>113</v>
      </c>
      <c r="P12" s="23">
        <v>221</v>
      </c>
      <c r="Q12" s="24">
        <v>704</v>
      </c>
      <c r="R12" s="20">
        <v>235</v>
      </c>
      <c r="S12" s="13">
        <v>52295</v>
      </c>
      <c r="T12" s="78"/>
    </row>
    <row r="13" spans="1:20" ht="20.100000000000001" customHeight="1">
      <c r="A13" s="20" t="s">
        <v>16</v>
      </c>
      <c r="B13" s="21">
        <v>2735</v>
      </c>
      <c r="C13" s="22">
        <v>47567</v>
      </c>
      <c r="D13" s="23">
        <v>0</v>
      </c>
      <c r="E13" s="24">
        <v>47567</v>
      </c>
      <c r="F13" s="25">
        <v>0</v>
      </c>
      <c r="G13" s="22">
        <v>10065</v>
      </c>
      <c r="H13" s="23">
        <v>0</v>
      </c>
      <c r="I13" s="24">
        <v>10065</v>
      </c>
      <c r="J13" s="26">
        <v>2903</v>
      </c>
      <c r="K13" s="23">
        <v>0</v>
      </c>
      <c r="L13" s="27">
        <v>2903</v>
      </c>
      <c r="M13" s="26">
        <v>44</v>
      </c>
      <c r="N13" s="23">
        <v>348</v>
      </c>
      <c r="O13" s="23">
        <v>0</v>
      </c>
      <c r="P13" s="23">
        <v>302</v>
      </c>
      <c r="Q13" s="24">
        <v>694</v>
      </c>
      <c r="R13" s="20">
        <v>134</v>
      </c>
      <c r="S13" s="13">
        <v>64098</v>
      </c>
      <c r="T13" s="78"/>
    </row>
    <row r="14" spans="1:20" ht="20.100000000000001" customHeight="1">
      <c r="A14" s="20" t="s">
        <v>17</v>
      </c>
      <c r="B14" s="21">
        <v>2547</v>
      </c>
      <c r="C14" s="22">
        <v>54431</v>
      </c>
      <c r="D14" s="23">
        <v>0</v>
      </c>
      <c r="E14" s="24">
        <v>54431</v>
      </c>
      <c r="F14" s="25">
        <v>0</v>
      </c>
      <c r="G14" s="22">
        <v>13405</v>
      </c>
      <c r="H14" s="23">
        <v>0</v>
      </c>
      <c r="I14" s="24">
        <v>13405</v>
      </c>
      <c r="J14" s="26">
        <v>3626</v>
      </c>
      <c r="K14" s="23">
        <v>0</v>
      </c>
      <c r="L14" s="27">
        <v>3626</v>
      </c>
      <c r="M14" s="26">
        <v>54</v>
      </c>
      <c r="N14" s="23">
        <v>377</v>
      </c>
      <c r="O14" s="23">
        <v>0</v>
      </c>
      <c r="P14" s="23">
        <v>341</v>
      </c>
      <c r="Q14" s="24">
        <v>772</v>
      </c>
      <c r="R14" s="20">
        <v>358</v>
      </c>
      <c r="S14" s="13">
        <v>75139</v>
      </c>
      <c r="T14" s="78"/>
    </row>
    <row r="15" spans="1:20" ht="20.100000000000001" customHeight="1">
      <c r="A15" s="20" t="s">
        <v>18</v>
      </c>
      <c r="B15" s="21">
        <v>3586</v>
      </c>
      <c r="C15" s="22">
        <v>59188</v>
      </c>
      <c r="D15" s="23">
        <v>92</v>
      </c>
      <c r="E15" s="24">
        <v>59280</v>
      </c>
      <c r="F15" s="25">
        <v>0</v>
      </c>
      <c r="G15" s="22">
        <v>15530</v>
      </c>
      <c r="H15" s="23">
        <v>50</v>
      </c>
      <c r="I15" s="24">
        <v>15580</v>
      </c>
      <c r="J15" s="26">
        <v>4456</v>
      </c>
      <c r="K15" s="23">
        <v>59</v>
      </c>
      <c r="L15" s="27">
        <v>4515</v>
      </c>
      <c r="M15" s="26">
        <v>64</v>
      </c>
      <c r="N15" s="23">
        <v>405</v>
      </c>
      <c r="O15" s="23">
        <v>0</v>
      </c>
      <c r="P15" s="23">
        <v>380</v>
      </c>
      <c r="Q15" s="24">
        <v>849</v>
      </c>
      <c r="R15" s="20">
        <v>427</v>
      </c>
      <c r="S15" s="13">
        <v>84237</v>
      </c>
      <c r="T15" s="78"/>
    </row>
    <row r="16" spans="1:20" ht="20.100000000000001" customHeight="1">
      <c r="A16" s="20" t="s">
        <v>19</v>
      </c>
      <c r="B16" s="21">
        <v>4114</v>
      </c>
      <c r="C16" s="22">
        <v>60454</v>
      </c>
      <c r="D16" s="23">
        <v>218</v>
      </c>
      <c r="E16" s="24">
        <v>60672</v>
      </c>
      <c r="F16" s="25">
        <v>0</v>
      </c>
      <c r="G16" s="22">
        <v>16896</v>
      </c>
      <c r="H16" s="23">
        <v>148</v>
      </c>
      <c r="I16" s="24">
        <v>17044</v>
      </c>
      <c r="J16" s="26">
        <v>5112</v>
      </c>
      <c r="K16" s="23">
        <v>145</v>
      </c>
      <c r="L16" s="27">
        <v>5257</v>
      </c>
      <c r="M16" s="26">
        <v>73</v>
      </c>
      <c r="N16" s="23">
        <v>461</v>
      </c>
      <c r="O16" s="23">
        <v>0</v>
      </c>
      <c r="P16" s="23">
        <v>426</v>
      </c>
      <c r="Q16" s="24">
        <v>960</v>
      </c>
      <c r="R16" s="20">
        <v>526</v>
      </c>
      <c r="S16" s="13">
        <v>88573</v>
      </c>
      <c r="T16" s="78"/>
    </row>
    <row r="17" spans="1:20" ht="20.100000000000001" customHeight="1">
      <c r="A17" s="20" t="s">
        <v>20</v>
      </c>
      <c r="B17" s="21">
        <v>3003</v>
      </c>
      <c r="C17" s="22">
        <v>60875</v>
      </c>
      <c r="D17" s="23">
        <v>448</v>
      </c>
      <c r="E17" s="24">
        <v>61323</v>
      </c>
      <c r="F17" s="25">
        <v>0</v>
      </c>
      <c r="G17" s="22">
        <v>18289</v>
      </c>
      <c r="H17" s="23">
        <v>384</v>
      </c>
      <c r="I17" s="24">
        <v>18673</v>
      </c>
      <c r="J17" s="26">
        <v>5693</v>
      </c>
      <c r="K17" s="23">
        <v>248</v>
      </c>
      <c r="L17" s="27">
        <v>5941</v>
      </c>
      <c r="M17" s="26">
        <v>71</v>
      </c>
      <c r="N17" s="23">
        <v>485</v>
      </c>
      <c r="O17" s="23">
        <v>0</v>
      </c>
      <c r="P17" s="23">
        <v>438</v>
      </c>
      <c r="Q17" s="24">
        <v>994</v>
      </c>
      <c r="R17" s="20">
        <v>555</v>
      </c>
      <c r="S17" s="13">
        <v>90489</v>
      </c>
      <c r="T17" s="78"/>
    </row>
    <row r="18" spans="1:20" ht="20.100000000000001" customHeight="1">
      <c r="A18" s="20" t="s">
        <v>21</v>
      </c>
      <c r="B18" s="21">
        <v>2715</v>
      </c>
      <c r="C18" s="22">
        <v>60368</v>
      </c>
      <c r="D18" s="23">
        <v>1521</v>
      </c>
      <c r="E18" s="24">
        <v>61889</v>
      </c>
      <c r="F18" s="25">
        <v>0</v>
      </c>
      <c r="G18" s="22">
        <v>21308</v>
      </c>
      <c r="H18" s="23">
        <v>1343</v>
      </c>
      <c r="I18" s="24">
        <v>22651</v>
      </c>
      <c r="J18" s="26">
        <v>7272</v>
      </c>
      <c r="K18" s="23">
        <v>696</v>
      </c>
      <c r="L18" s="27">
        <v>7968</v>
      </c>
      <c r="M18" s="26">
        <v>71</v>
      </c>
      <c r="N18" s="23">
        <v>553</v>
      </c>
      <c r="O18" s="23">
        <v>0</v>
      </c>
      <c r="P18" s="23">
        <v>471</v>
      </c>
      <c r="Q18" s="24">
        <v>1095</v>
      </c>
      <c r="R18" s="20">
        <v>401</v>
      </c>
      <c r="S18" s="13">
        <v>96719</v>
      </c>
      <c r="T18" s="78"/>
    </row>
    <row r="19" spans="1:20" ht="20.100000000000001" customHeight="1">
      <c r="A19" s="20" t="s">
        <v>22</v>
      </c>
      <c r="B19" s="21">
        <v>2201</v>
      </c>
      <c r="C19" s="22">
        <v>60661</v>
      </c>
      <c r="D19" s="23">
        <v>1908</v>
      </c>
      <c r="E19" s="24">
        <v>62569</v>
      </c>
      <c r="F19" s="25">
        <v>0</v>
      </c>
      <c r="G19" s="22">
        <v>22487</v>
      </c>
      <c r="H19" s="23">
        <v>1801</v>
      </c>
      <c r="I19" s="24">
        <v>24288</v>
      </c>
      <c r="J19" s="26">
        <v>8433</v>
      </c>
      <c r="K19" s="23">
        <v>1043</v>
      </c>
      <c r="L19" s="27">
        <v>9476</v>
      </c>
      <c r="M19" s="26">
        <v>72</v>
      </c>
      <c r="N19" s="23">
        <v>562</v>
      </c>
      <c r="O19" s="23">
        <v>0</v>
      </c>
      <c r="P19" s="23">
        <v>512</v>
      </c>
      <c r="Q19" s="24">
        <v>1146</v>
      </c>
      <c r="R19" s="20">
        <v>198</v>
      </c>
      <c r="S19" s="13">
        <v>99878</v>
      </c>
      <c r="T19" s="78"/>
    </row>
    <row r="20" spans="1:20" ht="20.100000000000001" customHeight="1">
      <c r="A20" s="20" t="s">
        <v>23</v>
      </c>
      <c r="B20" s="21">
        <v>3322</v>
      </c>
      <c r="C20" s="22">
        <v>60925</v>
      </c>
      <c r="D20" s="23">
        <v>2176</v>
      </c>
      <c r="E20" s="24">
        <v>63101</v>
      </c>
      <c r="F20" s="25">
        <v>0</v>
      </c>
      <c r="G20" s="22">
        <v>23635</v>
      </c>
      <c r="H20" s="23">
        <v>2193</v>
      </c>
      <c r="I20" s="24">
        <v>25828</v>
      </c>
      <c r="J20" s="26">
        <v>9499</v>
      </c>
      <c r="K20" s="23">
        <v>1478</v>
      </c>
      <c r="L20" s="27">
        <v>10977</v>
      </c>
      <c r="M20" s="26">
        <v>73</v>
      </c>
      <c r="N20" s="23">
        <v>612</v>
      </c>
      <c r="O20" s="23">
        <v>0</v>
      </c>
      <c r="P20" s="23">
        <v>560</v>
      </c>
      <c r="Q20" s="24">
        <v>1245</v>
      </c>
      <c r="R20" s="20">
        <v>100</v>
      </c>
      <c r="S20" s="13">
        <v>104573</v>
      </c>
      <c r="T20" s="78"/>
    </row>
    <row r="21" spans="1:20" ht="20.100000000000001" customHeight="1">
      <c r="A21" s="20" t="s">
        <v>24</v>
      </c>
      <c r="B21" s="21">
        <v>3450</v>
      </c>
      <c r="C21" s="22">
        <v>60405</v>
      </c>
      <c r="D21" s="23">
        <v>2254</v>
      </c>
      <c r="E21" s="24">
        <v>62659</v>
      </c>
      <c r="F21" s="25">
        <v>0</v>
      </c>
      <c r="G21" s="22">
        <v>24369</v>
      </c>
      <c r="H21" s="23">
        <v>2328</v>
      </c>
      <c r="I21" s="24">
        <v>26697</v>
      </c>
      <c r="J21" s="26">
        <v>10414</v>
      </c>
      <c r="K21" s="23">
        <v>1678</v>
      </c>
      <c r="L21" s="27">
        <v>11901</v>
      </c>
      <c r="M21" s="26">
        <v>75</v>
      </c>
      <c r="N21" s="23">
        <v>604</v>
      </c>
      <c r="O21" s="23">
        <v>0</v>
      </c>
      <c r="P21" s="23">
        <v>571</v>
      </c>
      <c r="Q21" s="24">
        <v>1250</v>
      </c>
      <c r="R21" s="20">
        <v>66</v>
      </c>
      <c r="S21" s="13">
        <v>106023</v>
      </c>
      <c r="T21" s="78"/>
    </row>
    <row r="22" spans="1:20" ht="20.100000000000001" customHeight="1">
      <c r="A22" s="20" t="s">
        <v>25</v>
      </c>
      <c r="B22" s="21">
        <v>4243</v>
      </c>
      <c r="C22" s="22">
        <v>62017</v>
      </c>
      <c r="D22" s="23">
        <v>2175</v>
      </c>
      <c r="E22" s="24">
        <v>64192</v>
      </c>
      <c r="F22" s="25">
        <v>0</v>
      </c>
      <c r="G22" s="22">
        <v>25143</v>
      </c>
      <c r="H22" s="23">
        <v>2271</v>
      </c>
      <c r="I22" s="24">
        <v>27414</v>
      </c>
      <c r="J22" s="26">
        <v>10825</v>
      </c>
      <c r="K22" s="23">
        <v>1670</v>
      </c>
      <c r="L22" s="27">
        <v>12495</v>
      </c>
      <c r="M22" s="26">
        <v>77</v>
      </c>
      <c r="N22" s="23">
        <v>615</v>
      </c>
      <c r="O22" s="23">
        <v>0</v>
      </c>
      <c r="P22" s="23">
        <v>603</v>
      </c>
      <c r="Q22" s="24">
        <v>1295</v>
      </c>
      <c r="R22" s="20">
        <v>75</v>
      </c>
      <c r="S22" s="13">
        <v>109714</v>
      </c>
      <c r="T22" s="78"/>
    </row>
    <row r="23" spans="1:20" ht="20.100000000000001" customHeight="1">
      <c r="A23" s="20" t="s">
        <v>26</v>
      </c>
      <c r="B23" s="21">
        <v>5808</v>
      </c>
      <c r="C23" s="22">
        <v>61467</v>
      </c>
      <c r="D23" s="23">
        <v>2160</v>
      </c>
      <c r="E23" s="24">
        <v>63627</v>
      </c>
      <c r="F23" s="25">
        <v>0</v>
      </c>
      <c r="G23" s="22">
        <v>25839</v>
      </c>
      <c r="H23" s="23">
        <v>2237</v>
      </c>
      <c r="I23" s="24">
        <v>28076</v>
      </c>
      <c r="J23" s="26">
        <v>11668</v>
      </c>
      <c r="K23" s="23">
        <v>1795</v>
      </c>
      <c r="L23" s="27">
        <v>13463</v>
      </c>
      <c r="M23" s="26">
        <v>80</v>
      </c>
      <c r="N23" s="23">
        <v>677</v>
      </c>
      <c r="O23" s="23" t="s">
        <v>27</v>
      </c>
      <c r="P23" s="23">
        <v>640</v>
      </c>
      <c r="Q23" s="24">
        <v>1397</v>
      </c>
      <c r="R23" s="20">
        <v>96</v>
      </c>
      <c r="S23" s="13">
        <v>112467</v>
      </c>
      <c r="T23" s="78"/>
    </row>
    <row r="24" spans="1:20" ht="20.100000000000001" customHeight="1">
      <c r="A24" s="20" t="s">
        <v>28</v>
      </c>
      <c r="B24" s="21">
        <v>7382</v>
      </c>
      <c r="C24" s="22">
        <v>66892</v>
      </c>
      <c r="D24" s="23">
        <v>2257</v>
      </c>
      <c r="E24" s="24">
        <v>69149</v>
      </c>
      <c r="F24" s="25">
        <v>0</v>
      </c>
      <c r="G24" s="22">
        <v>26528</v>
      </c>
      <c r="H24" s="23">
        <v>2310</v>
      </c>
      <c r="I24" s="24">
        <v>28838</v>
      </c>
      <c r="J24" s="26">
        <v>11374</v>
      </c>
      <c r="K24" s="23">
        <v>1867</v>
      </c>
      <c r="L24" s="27">
        <v>13241</v>
      </c>
      <c r="M24" s="26">
        <v>74</v>
      </c>
      <c r="N24" s="23">
        <v>640</v>
      </c>
      <c r="O24" s="23">
        <v>1527</v>
      </c>
      <c r="P24" s="23">
        <v>613</v>
      </c>
      <c r="Q24" s="24">
        <v>2854</v>
      </c>
      <c r="R24" s="20">
        <v>82</v>
      </c>
      <c r="S24" s="13">
        <v>121546</v>
      </c>
      <c r="T24" s="78"/>
    </row>
    <row r="25" spans="1:20" ht="20.100000000000001" customHeight="1">
      <c r="A25" s="20" t="s">
        <v>29</v>
      </c>
      <c r="B25" s="21">
        <v>9581</v>
      </c>
      <c r="C25" s="22">
        <v>66481</v>
      </c>
      <c r="D25" s="23">
        <v>2355</v>
      </c>
      <c r="E25" s="24">
        <v>68836</v>
      </c>
      <c r="F25" s="25">
        <v>0</v>
      </c>
      <c r="G25" s="22">
        <v>27289</v>
      </c>
      <c r="H25" s="23">
        <v>2383</v>
      </c>
      <c r="I25" s="24">
        <v>29672</v>
      </c>
      <c r="J25" s="26">
        <v>11823</v>
      </c>
      <c r="K25" s="23">
        <v>2000</v>
      </c>
      <c r="L25" s="27">
        <v>13823</v>
      </c>
      <c r="M25" s="26">
        <v>77</v>
      </c>
      <c r="N25" s="23">
        <v>676</v>
      </c>
      <c r="O25" s="23">
        <v>2007</v>
      </c>
      <c r="P25" s="23">
        <v>621</v>
      </c>
      <c r="Q25" s="24">
        <v>3377</v>
      </c>
      <c r="R25" s="20">
        <v>97</v>
      </c>
      <c r="S25" s="13">
        <v>125386</v>
      </c>
      <c r="T25" s="78"/>
    </row>
    <row r="26" spans="1:20" ht="20.100000000000001" customHeight="1">
      <c r="A26" s="20" t="s">
        <v>30</v>
      </c>
      <c r="B26" s="21">
        <v>12456</v>
      </c>
      <c r="C26" s="22">
        <v>66068</v>
      </c>
      <c r="D26" s="23">
        <v>2559</v>
      </c>
      <c r="E26" s="24">
        <v>68627</v>
      </c>
      <c r="F26" s="25">
        <v>0</v>
      </c>
      <c r="G26" s="22">
        <v>28044</v>
      </c>
      <c r="H26" s="23">
        <v>2586</v>
      </c>
      <c r="I26" s="24">
        <v>30630</v>
      </c>
      <c r="J26" s="26">
        <v>12216</v>
      </c>
      <c r="K26" s="23">
        <v>2241</v>
      </c>
      <c r="L26" s="27">
        <v>14457</v>
      </c>
      <c r="M26" s="26">
        <v>83</v>
      </c>
      <c r="N26" s="23">
        <v>742</v>
      </c>
      <c r="O26" s="23">
        <v>2463</v>
      </c>
      <c r="P26" s="23">
        <v>633</v>
      </c>
      <c r="Q26" s="24">
        <v>3921</v>
      </c>
      <c r="R26" s="20">
        <v>69</v>
      </c>
      <c r="S26" s="13">
        <v>130160</v>
      </c>
      <c r="T26" s="78"/>
    </row>
    <row r="27" spans="1:20" ht="20.100000000000001" customHeight="1">
      <c r="A27" s="20" t="s">
        <v>31</v>
      </c>
      <c r="B27" s="21">
        <v>13497</v>
      </c>
      <c r="C27" s="22">
        <v>65018</v>
      </c>
      <c r="D27" s="23">
        <v>2781</v>
      </c>
      <c r="E27" s="24">
        <v>67799</v>
      </c>
      <c r="F27" s="25">
        <v>0</v>
      </c>
      <c r="G27" s="22">
        <v>28726</v>
      </c>
      <c r="H27" s="23">
        <v>2760</v>
      </c>
      <c r="I27" s="24">
        <v>31486</v>
      </c>
      <c r="J27" s="26">
        <v>12736</v>
      </c>
      <c r="K27" s="23">
        <v>2460</v>
      </c>
      <c r="L27" s="27">
        <v>15196</v>
      </c>
      <c r="M27" s="26">
        <v>85</v>
      </c>
      <c r="N27" s="23">
        <v>867</v>
      </c>
      <c r="O27" s="23">
        <v>2759</v>
      </c>
      <c r="P27" s="23">
        <v>704</v>
      </c>
      <c r="Q27" s="24">
        <v>4415</v>
      </c>
      <c r="R27" s="20">
        <v>69</v>
      </c>
      <c r="S27" s="21">
        <v>132462</v>
      </c>
      <c r="T27" s="78"/>
    </row>
    <row r="28" spans="1:20" ht="20.100000000000001" customHeight="1">
      <c r="A28" s="20" t="s">
        <v>32</v>
      </c>
      <c r="B28" s="21">
        <v>17291</v>
      </c>
      <c r="C28" s="22">
        <v>63313</v>
      </c>
      <c r="D28" s="23">
        <v>2893</v>
      </c>
      <c r="E28" s="24">
        <v>66206</v>
      </c>
      <c r="F28" s="25">
        <v>0</v>
      </c>
      <c r="G28" s="22">
        <v>28758</v>
      </c>
      <c r="H28" s="23">
        <v>2772</v>
      </c>
      <c r="I28" s="24">
        <v>31530</v>
      </c>
      <c r="J28" s="26">
        <v>13094</v>
      </c>
      <c r="K28" s="23">
        <v>2564</v>
      </c>
      <c r="L28" s="27">
        <v>15658</v>
      </c>
      <c r="M28" s="26">
        <v>86</v>
      </c>
      <c r="N28" s="23">
        <v>945</v>
      </c>
      <c r="O28" s="23">
        <v>2942</v>
      </c>
      <c r="P28" s="23">
        <v>757</v>
      </c>
      <c r="Q28" s="24">
        <v>4730</v>
      </c>
      <c r="R28" s="20">
        <v>70</v>
      </c>
      <c r="S28" s="21">
        <v>135485</v>
      </c>
      <c r="T28" s="78"/>
    </row>
    <row r="29" spans="1:20" ht="20.100000000000001" customHeight="1">
      <c r="A29" s="20" t="s">
        <v>33</v>
      </c>
      <c r="B29" s="21">
        <v>19912</v>
      </c>
      <c r="C29" s="22">
        <v>62473</v>
      </c>
      <c r="D29" s="23">
        <v>3034</v>
      </c>
      <c r="E29" s="24">
        <v>65507</v>
      </c>
      <c r="F29" s="25">
        <v>0</v>
      </c>
      <c r="G29" s="22">
        <v>29156</v>
      </c>
      <c r="H29" s="23">
        <v>2752</v>
      </c>
      <c r="I29" s="24">
        <v>31908</v>
      </c>
      <c r="J29" s="26">
        <v>13819</v>
      </c>
      <c r="K29" s="23">
        <v>2615</v>
      </c>
      <c r="L29" s="27">
        <v>16434</v>
      </c>
      <c r="M29" s="26">
        <v>97</v>
      </c>
      <c r="N29" s="23">
        <v>1013</v>
      </c>
      <c r="O29" s="23">
        <v>3117</v>
      </c>
      <c r="P29" s="23">
        <v>814</v>
      </c>
      <c r="Q29" s="24">
        <v>5041</v>
      </c>
      <c r="R29" s="20">
        <v>90</v>
      </c>
      <c r="S29" s="21">
        <v>138892</v>
      </c>
      <c r="T29" s="78"/>
    </row>
    <row r="30" spans="1:20" ht="20.100000000000001" customHeight="1">
      <c r="A30" s="20" t="s">
        <v>34</v>
      </c>
      <c r="B30" s="21">
        <v>20543</v>
      </c>
      <c r="C30" s="22">
        <v>61491</v>
      </c>
      <c r="D30" s="23">
        <v>3155</v>
      </c>
      <c r="E30" s="24">
        <v>64646</v>
      </c>
      <c r="F30" s="25">
        <v>0</v>
      </c>
      <c r="G30" s="22">
        <v>29035</v>
      </c>
      <c r="H30" s="23">
        <v>2616</v>
      </c>
      <c r="I30" s="24">
        <v>31651</v>
      </c>
      <c r="J30" s="26">
        <v>14245</v>
      </c>
      <c r="K30" s="23">
        <v>2563</v>
      </c>
      <c r="L30" s="27">
        <v>16808</v>
      </c>
      <c r="M30" s="26">
        <v>105</v>
      </c>
      <c r="N30" s="23">
        <v>1039</v>
      </c>
      <c r="O30" s="23">
        <v>3246</v>
      </c>
      <c r="P30" s="23">
        <v>846</v>
      </c>
      <c r="Q30" s="24">
        <v>5236</v>
      </c>
      <c r="R30" s="20">
        <v>77</v>
      </c>
      <c r="S30" s="21">
        <v>138961</v>
      </c>
      <c r="T30" s="78"/>
    </row>
    <row r="31" spans="1:20" ht="20.100000000000001" customHeight="1">
      <c r="A31" s="28" t="s">
        <v>35</v>
      </c>
      <c r="B31" s="29">
        <v>18950</v>
      </c>
      <c r="C31" s="30">
        <v>59439</v>
      </c>
      <c r="D31" s="31">
        <v>3260</v>
      </c>
      <c r="E31" s="32">
        <v>62699</v>
      </c>
      <c r="F31" s="33">
        <v>0</v>
      </c>
      <c r="G31" s="30">
        <v>28239</v>
      </c>
      <c r="H31" s="31">
        <v>2518</v>
      </c>
      <c r="I31" s="32">
        <v>30757</v>
      </c>
      <c r="J31" s="34">
        <v>14301</v>
      </c>
      <c r="K31" s="31">
        <v>2496</v>
      </c>
      <c r="L31" s="35">
        <v>16797</v>
      </c>
      <c r="M31" s="34">
        <v>102</v>
      </c>
      <c r="N31" s="31">
        <v>1055</v>
      </c>
      <c r="O31" s="31">
        <v>3391</v>
      </c>
      <c r="P31" s="31">
        <v>877</v>
      </c>
      <c r="Q31" s="32">
        <v>5425</v>
      </c>
      <c r="R31" s="28">
        <v>97</v>
      </c>
      <c r="S31" s="36">
        <v>134725</v>
      </c>
      <c r="T31" s="78"/>
    </row>
    <row r="32" spans="1:20" ht="20.100000000000001" customHeight="1">
      <c r="A32" s="37" t="s">
        <v>36</v>
      </c>
      <c r="B32" s="36">
        <v>17071</v>
      </c>
      <c r="C32" s="38">
        <v>56510</v>
      </c>
      <c r="D32" s="39">
        <v>3316</v>
      </c>
      <c r="E32" s="40">
        <v>59826</v>
      </c>
      <c r="F32" s="41">
        <v>0</v>
      </c>
      <c r="G32" s="38">
        <v>26825</v>
      </c>
      <c r="H32" s="39">
        <v>2403</v>
      </c>
      <c r="I32" s="40">
        <v>29228</v>
      </c>
      <c r="J32" s="42">
        <v>14065</v>
      </c>
      <c r="K32" s="39">
        <v>2460</v>
      </c>
      <c r="L32" s="43">
        <v>16525</v>
      </c>
      <c r="M32" s="42">
        <v>105</v>
      </c>
      <c r="N32" s="39">
        <v>1049</v>
      </c>
      <c r="O32" s="39">
        <v>3847</v>
      </c>
      <c r="P32" s="39">
        <v>893</v>
      </c>
      <c r="Q32" s="40">
        <v>5894</v>
      </c>
      <c r="R32" s="37">
        <v>117</v>
      </c>
      <c r="S32" s="36">
        <v>128661</v>
      </c>
      <c r="T32" s="78"/>
    </row>
    <row r="33" spans="1:20" ht="20.100000000000001" customHeight="1">
      <c r="A33" s="20" t="s">
        <v>37</v>
      </c>
      <c r="B33" s="21">
        <v>16299</v>
      </c>
      <c r="C33" s="22">
        <v>53649</v>
      </c>
      <c r="D33" s="23">
        <v>3466</v>
      </c>
      <c r="E33" s="24">
        <v>57115</v>
      </c>
      <c r="F33" s="25">
        <v>0</v>
      </c>
      <c r="G33" s="22">
        <v>24050</v>
      </c>
      <c r="H33" s="23">
        <v>2931</v>
      </c>
      <c r="I33" s="24">
        <v>26981</v>
      </c>
      <c r="J33" s="26">
        <v>12311</v>
      </c>
      <c r="K33" s="23">
        <v>2978</v>
      </c>
      <c r="L33" s="27">
        <v>15289</v>
      </c>
      <c r="M33" s="26">
        <v>105</v>
      </c>
      <c r="N33" s="23">
        <v>1031</v>
      </c>
      <c r="O33" s="23">
        <v>3409</v>
      </c>
      <c r="P33" s="23">
        <v>940</v>
      </c>
      <c r="Q33" s="24">
        <v>5485</v>
      </c>
      <c r="R33" s="20">
        <v>113</v>
      </c>
      <c r="S33" s="21">
        <v>121282</v>
      </c>
      <c r="T33" s="78"/>
    </row>
    <row r="34" spans="1:20" ht="20.100000000000001" customHeight="1">
      <c r="A34" s="28" t="s">
        <v>38</v>
      </c>
      <c r="B34" s="29">
        <v>15831</v>
      </c>
      <c r="C34" s="30">
        <v>55111</v>
      </c>
      <c r="D34" s="31">
        <v>3700</v>
      </c>
      <c r="E34" s="32">
        <v>58811</v>
      </c>
      <c r="F34" s="33">
        <v>0</v>
      </c>
      <c r="G34" s="30">
        <v>23783</v>
      </c>
      <c r="H34" s="31">
        <v>2458</v>
      </c>
      <c r="I34" s="32">
        <v>26241</v>
      </c>
      <c r="J34" s="34">
        <v>12729</v>
      </c>
      <c r="K34" s="31">
        <v>2490</v>
      </c>
      <c r="L34" s="35">
        <v>15219</v>
      </c>
      <c r="M34" s="34">
        <v>107</v>
      </c>
      <c r="N34" s="31">
        <v>1045</v>
      </c>
      <c r="O34" s="31">
        <v>3379</v>
      </c>
      <c r="P34" s="31">
        <v>1025</v>
      </c>
      <c r="Q34" s="32">
        <v>5556</v>
      </c>
      <c r="R34" s="28">
        <v>113</v>
      </c>
      <c r="S34" s="21">
        <v>121771</v>
      </c>
      <c r="T34" s="78"/>
    </row>
    <row r="35" spans="1:20" s="2" customFormat="1" ht="20.100000000000001" customHeight="1">
      <c r="A35" s="20" t="s">
        <v>39</v>
      </c>
      <c r="B35" s="21">
        <v>16113</v>
      </c>
      <c r="C35" s="22">
        <v>53733</v>
      </c>
      <c r="D35" s="23">
        <v>3886</v>
      </c>
      <c r="E35" s="24">
        <v>57619</v>
      </c>
      <c r="F35" s="25">
        <v>0</v>
      </c>
      <c r="G35" s="22">
        <v>22960</v>
      </c>
      <c r="H35" s="23">
        <v>2491</v>
      </c>
      <c r="I35" s="24">
        <v>25451</v>
      </c>
      <c r="J35" s="26">
        <v>12207</v>
      </c>
      <c r="K35" s="23">
        <v>2490</v>
      </c>
      <c r="L35" s="27">
        <v>14697</v>
      </c>
      <c r="M35" s="26">
        <v>108</v>
      </c>
      <c r="N35" s="23">
        <v>1122</v>
      </c>
      <c r="O35" s="23">
        <v>3816</v>
      </c>
      <c r="P35" s="23">
        <v>1162</v>
      </c>
      <c r="Q35" s="24">
        <v>6208</v>
      </c>
      <c r="R35" s="20">
        <v>113</v>
      </c>
      <c r="S35" s="13">
        <v>120201</v>
      </c>
      <c r="T35" s="78"/>
    </row>
    <row r="36" spans="1:20" ht="20.100000000000001" customHeight="1">
      <c r="A36" s="20" t="s">
        <v>41</v>
      </c>
      <c r="B36" s="21">
        <v>13424</v>
      </c>
      <c r="C36" s="22">
        <v>54480</v>
      </c>
      <c r="D36" s="23">
        <v>4336</v>
      </c>
      <c r="E36" s="24">
        <v>58816</v>
      </c>
      <c r="F36" s="25">
        <v>0</v>
      </c>
      <c r="G36" s="22">
        <v>21057</v>
      </c>
      <c r="H36" s="23">
        <v>2228</v>
      </c>
      <c r="I36" s="24">
        <v>23285</v>
      </c>
      <c r="J36" s="26">
        <v>12106</v>
      </c>
      <c r="K36" s="23">
        <v>2590</v>
      </c>
      <c r="L36" s="27">
        <v>14696</v>
      </c>
      <c r="M36" s="26">
        <v>110</v>
      </c>
      <c r="N36" s="23">
        <v>1206</v>
      </c>
      <c r="O36" s="23">
        <v>4412</v>
      </c>
      <c r="P36" s="23">
        <v>1247</v>
      </c>
      <c r="Q36" s="24">
        <v>6975</v>
      </c>
      <c r="R36" s="20"/>
      <c r="S36" s="21">
        <v>117196</v>
      </c>
      <c r="T36" s="78"/>
    </row>
    <row r="37" spans="1:20" ht="20.100000000000001" customHeight="1">
      <c r="A37" s="20" t="s">
        <v>42</v>
      </c>
      <c r="B37" s="21">
        <v>21989</v>
      </c>
      <c r="C37" s="22">
        <v>55144</v>
      </c>
      <c r="D37" s="23">
        <v>6007</v>
      </c>
      <c r="E37" s="24">
        <v>61151</v>
      </c>
      <c r="F37" s="25">
        <v>0</v>
      </c>
      <c r="G37" s="22">
        <v>20680</v>
      </c>
      <c r="H37" s="23">
        <v>2207</v>
      </c>
      <c r="I37" s="24">
        <v>22887</v>
      </c>
      <c r="J37" s="26">
        <v>11861</v>
      </c>
      <c r="K37" s="23">
        <v>2633</v>
      </c>
      <c r="L37" s="27">
        <v>14494</v>
      </c>
      <c r="M37" s="26">
        <v>107</v>
      </c>
      <c r="N37" s="23">
        <v>1255</v>
      </c>
      <c r="O37" s="23">
        <v>4642</v>
      </c>
      <c r="P37" s="23">
        <v>1256</v>
      </c>
      <c r="Q37" s="24">
        <v>7260</v>
      </c>
      <c r="R37" s="44"/>
      <c r="S37" s="21">
        <v>127781</v>
      </c>
      <c r="T37" s="78"/>
    </row>
    <row r="38" spans="1:20" ht="20.100000000000001" customHeight="1">
      <c r="A38" s="37" t="s">
        <v>44</v>
      </c>
      <c r="B38" s="36">
        <v>24364</v>
      </c>
      <c r="C38" s="38">
        <v>55595</v>
      </c>
      <c r="D38" s="39">
        <v>6837</v>
      </c>
      <c r="E38" s="40">
        <v>62432</v>
      </c>
      <c r="F38" s="41">
        <v>0</v>
      </c>
      <c r="G38" s="38">
        <v>21191</v>
      </c>
      <c r="H38" s="39">
        <v>2636</v>
      </c>
      <c r="I38" s="40">
        <v>23827</v>
      </c>
      <c r="J38" s="42">
        <v>9981</v>
      </c>
      <c r="K38" s="39">
        <v>2515</v>
      </c>
      <c r="L38" s="43">
        <v>12496</v>
      </c>
      <c r="M38" s="42">
        <v>104</v>
      </c>
      <c r="N38" s="39">
        <v>1233</v>
      </c>
      <c r="O38" s="39">
        <v>4670</v>
      </c>
      <c r="P38" s="39">
        <v>1206</v>
      </c>
      <c r="Q38" s="40">
        <v>7213</v>
      </c>
      <c r="R38" s="37"/>
      <c r="S38" s="36">
        <v>130332</v>
      </c>
      <c r="T38" s="78"/>
    </row>
    <row r="39" spans="1:20" ht="20.100000000000001" customHeight="1">
      <c r="A39" s="20" t="s">
        <v>47</v>
      </c>
      <c r="B39" s="21">
        <v>28220</v>
      </c>
      <c r="C39" s="22">
        <v>55439</v>
      </c>
      <c r="D39" s="23">
        <v>7883</v>
      </c>
      <c r="E39" s="24">
        <v>63322</v>
      </c>
      <c r="F39" s="25">
        <v>0</v>
      </c>
      <c r="G39" s="22">
        <v>63322</v>
      </c>
      <c r="H39" s="23">
        <v>21261</v>
      </c>
      <c r="I39" s="24">
        <v>24234</v>
      </c>
      <c r="J39" s="26">
        <v>15385</v>
      </c>
      <c r="K39" s="23">
        <v>3558</v>
      </c>
      <c r="L39" s="27">
        <v>18943</v>
      </c>
      <c r="M39" s="45"/>
      <c r="N39" s="45"/>
      <c r="O39" s="23">
        <v>4389</v>
      </c>
      <c r="P39" s="23">
        <v>2517</v>
      </c>
      <c r="Q39" s="24">
        <f>P39+O39</f>
        <v>6906</v>
      </c>
      <c r="R39" s="20"/>
      <c r="S39" s="21">
        <f>106499+28220</f>
        <v>134719</v>
      </c>
      <c r="T39" s="78"/>
    </row>
    <row r="40" spans="1:20" ht="20.100000000000001" customHeight="1" thickBot="1">
      <c r="A40" s="46" t="s">
        <v>48</v>
      </c>
      <c r="B40" s="47">
        <v>31131</v>
      </c>
      <c r="C40" s="48">
        <v>55712</v>
      </c>
      <c r="D40" s="49">
        <v>8912</v>
      </c>
      <c r="E40" s="50">
        <v>64624</v>
      </c>
      <c r="F40" s="51">
        <v>0</v>
      </c>
      <c r="G40" s="48">
        <v>21381</v>
      </c>
      <c r="H40" s="49">
        <v>3331</v>
      </c>
      <c r="I40" s="50">
        <v>24712</v>
      </c>
      <c r="J40" s="52">
        <v>9320</v>
      </c>
      <c r="K40" s="49">
        <v>2706</v>
      </c>
      <c r="L40" s="53">
        <v>12026</v>
      </c>
      <c r="M40" s="54"/>
      <c r="N40" s="54"/>
      <c r="O40" s="49">
        <v>4269</v>
      </c>
      <c r="P40" s="49">
        <v>2413</v>
      </c>
      <c r="Q40" s="50">
        <f>O40+P40</f>
        <v>6682</v>
      </c>
      <c r="R40" s="54"/>
      <c r="S40" s="47">
        <f>Q40+L40+I40+E40+B40</f>
        <v>139175</v>
      </c>
      <c r="T40" s="78"/>
    </row>
    <row r="41" spans="1:20" ht="20.100000000000001" customHeight="1" thickBot="1">
      <c r="A41" s="55" t="s">
        <v>50</v>
      </c>
      <c r="B41" s="56">
        <v>29364</v>
      </c>
      <c r="C41" s="57">
        <v>55407</v>
      </c>
      <c r="D41" s="58">
        <v>10090</v>
      </c>
      <c r="E41" s="59">
        <f>D41+C41</f>
        <v>65497</v>
      </c>
      <c r="F41" s="60">
        <v>0</v>
      </c>
      <c r="G41" s="57">
        <v>21422</v>
      </c>
      <c r="H41" s="58">
        <v>3786</v>
      </c>
      <c r="I41" s="59">
        <f>H41+G41</f>
        <v>25208</v>
      </c>
      <c r="J41" s="61">
        <v>9181</v>
      </c>
      <c r="K41" s="58">
        <v>2771</v>
      </c>
      <c r="L41" s="62">
        <f>K41+J41</f>
        <v>11952</v>
      </c>
      <c r="M41" s="63"/>
      <c r="N41" s="63"/>
      <c r="O41" s="58">
        <v>4388</v>
      </c>
      <c r="P41" s="58">
        <v>2490</v>
      </c>
      <c r="Q41" s="59">
        <f>P41+O41</f>
        <v>6878</v>
      </c>
      <c r="R41" s="63"/>
      <c r="S41" s="56">
        <f>Q41+L41+I41+E41+B41</f>
        <v>138899</v>
      </c>
      <c r="T41" s="78"/>
    </row>
    <row r="42" spans="1:20" ht="18.75">
      <c r="A42" s="97" t="s">
        <v>51</v>
      </c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78"/>
    </row>
    <row r="43" spans="1:20" ht="18" customHeight="1">
      <c r="A43" s="74" t="s">
        <v>45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</row>
  </sheetData>
  <mergeCells count="27">
    <mergeCell ref="A43:S43"/>
    <mergeCell ref="A1:S1"/>
    <mergeCell ref="T1:T42"/>
    <mergeCell ref="A3:A5"/>
    <mergeCell ref="B3:B5"/>
    <mergeCell ref="C3:E3"/>
    <mergeCell ref="F3:F5"/>
    <mergeCell ref="G3:I3"/>
    <mergeCell ref="J3:L3"/>
    <mergeCell ref="M3:Q3"/>
    <mergeCell ref="R3:R5"/>
    <mergeCell ref="A42:S42"/>
    <mergeCell ref="S3:S5"/>
    <mergeCell ref="C4:C5"/>
    <mergeCell ref="D4:D5"/>
    <mergeCell ref="E4:E5"/>
    <mergeCell ref="G4:G5"/>
    <mergeCell ref="H4:H5"/>
    <mergeCell ref="I4:I5"/>
    <mergeCell ref="J4:J5"/>
    <mergeCell ref="K4:K5"/>
    <mergeCell ref="Q4:Q5"/>
    <mergeCell ref="L4:L5"/>
    <mergeCell ref="M4:M5"/>
    <mergeCell ref="N4:N5"/>
    <mergeCell ref="O4:O5"/>
    <mergeCell ref="P4:P5"/>
  </mergeCells>
  <printOptions horizontalCentered="1" verticalCentered="1"/>
  <pageMargins left="0" right="0" top="0" bottom="0" header="0" footer="0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>Kimia Computer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Dear User!</dc:creator>
  <cp:lastModifiedBy>50576985</cp:lastModifiedBy>
  <cp:lastPrinted>2019-12-18T06:57:17Z</cp:lastPrinted>
  <dcterms:created xsi:type="dcterms:W3CDTF">2011-07-27T09:30:31Z</dcterms:created>
  <dcterms:modified xsi:type="dcterms:W3CDTF">2019-12-18T06:57:34Z</dcterms:modified>
</cp:coreProperties>
</file>